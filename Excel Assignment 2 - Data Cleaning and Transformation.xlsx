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VYA\Desktop\ENTRI\EXCEL_ASSIGNMENTS\"/>
    </mc:Choice>
  </mc:AlternateContent>
  <bookViews>
    <workbookView xWindow="0" yWindow="0" windowWidth="20460" windowHeight="7470" activeTab="1"/>
  </bookViews>
  <sheets>
    <sheet name="Instructions" sheetId="1" r:id="rId1"/>
    <sheet name="Dataset" sheetId="2" r:id="rId2"/>
  </sheets>
  <definedNames>
    <definedName name="_xlnm._FilterDatabase" localSheetId="1" hidden="1">Dataset!$A$1:$H$32</definedName>
  </definedNames>
  <calcPr calcId="162913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H2" i="2" l="1"/>
  <c r="O3" i="2"/>
  <c r="O2" i="2"/>
  <c r="O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<sst xmlns="http://schemas.openxmlformats.org/spreadsheetml/2006/main" count="154" uniqueCount="120">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</sst>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\ #,##0.00"/>
    <numFmt numFmtId="165" formatCode="[$-F800]dddd\,\ mmmm\ dd\,\ yyyy"/>
    <numFmt numFmtId="166" formatCode="[$-14009]dd/mm/yyyy;@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164" fontId="5" fillId="0" borderId="1" xfId="0" applyNumberFormat="1" applyFont="1" applyBorder="1"/>
    <xf numFmtId="166" fontId="0" fillId="0" borderId="1" xfId="0" applyNumberFormat="1" applyFont="1" applyBorder="1" applyAlignment="1"/>
    <xf numFmtId="0" fontId="10" fillId="0" borderId="0" xfId="0" applyFont="1" applyAlignment="1"/>
    <xf numFmtId="164" fontId="0" fillId="0" borderId="0" xfId="0" applyNumberFormat="1" applyFont="1" applyAlignment="1"/>
    <xf numFmtId="164" fontId="5" fillId="0" borderId="0" xfId="0" applyNumberFormat="1" applyFont="1" applyAlignment="1"/>
    <xf numFmtId="0" fontId="8" fillId="4" borderId="0" xfId="0" applyFont="1" applyFill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>
      <selection activeCell="I12" sqref="I1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workbookViewId="0">
      <selection activeCell="L2" sqref="L2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4" bestFit="1" customWidth="1"/>
    <col min="8" max="8" width="11.28515625" bestFit="1" customWidth="1"/>
    <col min="9" max="9" width="19" bestFit="1" customWidth="1"/>
    <col min="10" max="10" width="13.42578125" bestFit="1" customWidth="1"/>
    <col min="11" max="11" width="21.7109375" bestFit="1" customWidth="1"/>
    <col min="12" max="12" width="9.7109375" bestFit="1" customWidth="1"/>
    <col min="13" max="13" width="19" bestFit="1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12" t="s">
        <v>20</v>
      </c>
      <c r="H1" s="13" t="s">
        <v>24</v>
      </c>
      <c r="I1" s="12" t="s">
        <v>115</v>
      </c>
      <c r="J1" s="12" t="s">
        <v>116</v>
      </c>
      <c r="K1" s="12" t="s">
        <v>117</v>
      </c>
      <c r="L1" s="14" t="s">
        <v>22</v>
      </c>
      <c r="M1" s="15" t="s">
        <v>115</v>
      </c>
    </row>
    <row r="2" spans="1:16" ht="15.75" customHeight="1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  <c r="G2" s="16" t="str">
        <f t="shared" ref="G2:G32" si="0">PROPER(B2)</f>
        <v>Laptop</v>
      </c>
      <c r="H2" s="16" t="str">
        <f>IF(
  OR(
    G2="Laptop",
    G2="Smartphone",
    G2="Tablet",
    G2="Camera",
    G2="Fitness Tracker",
    G2="Headphones",
    G2="Smartwatch"
  ),
  "Electronics",
  IF(
    OR(
      G2="Sneakers",
      G2="T-Shirt",
      G2="Sunglasses",
      G2="Dress",
      G2="Levi's"
    ),
    "Fashion",
    IF(
      OR(G2="Laptop Bag", G2="Watch"),
      "Accessories",
      IF(
        OR(G2="Camping Tent", G2="Hiking Boots", G2="Backpack"),
        "Outdoor",
        "Kitchen"
      )
    )
  )
)</f>
        <v>Electronics</v>
      </c>
      <c r="I2" s="16" t="str">
        <f>LEFT(A2,6)</f>
        <v>28-JAN</v>
      </c>
      <c r="J2" s="16" t="str">
        <f>RIGHT(A2,2)</f>
        <v>US</v>
      </c>
      <c r="K2" s="16" t="str">
        <f>CONCATENATE(C2," ",G2)</f>
        <v>Dell Laptop</v>
      </c>
      <c r="L2" s="17">
        <f>IF(ISBLANK(D2),ROUND(AVERAGEIF($H$2:$H$32,H2,$D$2:$D$32),0),D2)</f>
        <v>1000</v>
      </c>
      <c r="M2" s="18">
        <v>45685</v>
      </c>
      <c r="N2" s="19" t="s">
        <v>118</v>
      </c>
      <c r="O2" s="20">
        <f>AVERAGE(D2:D32)</f>
        <v>297.85714285714283</v>
      </c>
    </row>
    <row r="3" spans="1:16" ht="15.75" customHeight="1" x14ac:dyDescent="0.2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G3" s="16" t="str">
        <f t="shared" si="0"/>
        <v>Sneakers</v>
      </c>
      <c r="H3" s="16" t="str">
        <f t="shared" ref="H3:H32" si="1">IF(
  OR(
    G3="Laptop",
    G3="Smartphone",
    G3="Tablet",
    G3="Camera",
    G3="Fitness Tracker",
    G3="Headphones",
    G3="Smartwatch"
  ),
  "Electronics",
  IF(
    OR(
      G3="Sneakers",
      G3="T-Shirt",
      G3="Sunglasses",
      G3="Dress",
      G3="Levi's"
    ),
    "Fashion",
    IF(
      OR(G3="Laptop Bag", G3="Watch"),
      "Accessories",
      IF(
        OR(G3="Camping Tent", G3="Hiking Boots", G3="Backpack"),
        "Outdoor",
        "Kitchen"
      )
    )
  )
)</f>
        <v>Fashion</v>
      </c>
      <c r="I3" s="16" t="str">
        <f t="shared" ref="I3:I32" si="2">LEFT(A3,6)</f>
        <v>15-FEB</v>
      </c>
      <c r="J3" s="16" t="str">
        <f t="shared" ref="J3:J32" si="3">RIGHT(A3,2)</f>
        <v>US</v>
      </c>
      <c r="K3" s="16" t="str">
        <f t="shared" ref="K3:K32" si="4">CONCATENATE(C3," ",G3)</f>
        <v>Nike Sneakers</v>
      </c>
      <c r="L3" s="17">
        <f t="shared" ref="L3:L32" si="5">IF(ISBLANK(D3),ROUND(AVERAGEIF($H$2:$H$32,H3,$D$2:$D$32),0),D3)</f>
        <v>80</v>
      </c>
      <c r="M3" s="18">
        <v>45703</v>
      </c>
      <c r="N3" s="22" t="s">
        <v>119</v>
      </c>
      <c r="O3" s="21">
        <f>MEDIAN(D2:D32)</f>
        <v>130</v>
      </c>
      <c r="P3" s="6"/>
    </row>
    <row r="4" spans="1:16" ht="15.75" customHeight="1" x14ac:dyDescent="0.2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G4" s="16" t="str">
        <f t="shared" si="0"/>
        <v>Coffee Maker</v>
      </c>
      <c r="H4" s="16" t="str">
        <f t="shared" si="1"/>
        <v>Kitchen</v>
      </c>
      <c r="I4" s="16" t="str">
        <f t="shared" si="2"/>
        <v>03-MAR</v>
      </c>
      <c r="J4" s="16" t="str">
        <f t="shared" si="3"/>
        <v>US</v>
      </c>
      <c r="K4" s="16" t="str">
        <f t="shared" si="4"/>
        <v>Keurig Coffee Maker</v>
      </c>
      <c r="L4" s="17">
        <f t="shared" si="5"/>
        <v>130</v>
      </c>
      <c r="M4" s="18">
        <v>45719</v>
      </c>
      <c r="N4" s="6"/>
      <c r="O4" s="6">
        <f>IF(ISBLANK(D2),ROUND(AVERAGEIF($B$2:$B$32,B2,$D$2:$D$32),0),D2)</f>
        <v>1000</v>
      </c>
      <c r="P4" s="6"/>
    </row>
    <row r="5" spans="1:16" ht="15.75" customHeight="1" x14ac:dyDescent="0.2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G5" s="16" t="str">
        <f t="shared" si="0"/>
        <v>Smartphone</v>
      </c>
      <c r="H5" s="16" t="str">
        <f t="shared" si="1"/>
        <v>Electronics</v>
      </c>
      <c r="I5" s="16" t="str">
        <f t="shared" si="2"/>
        <v>11-APR</v>
      </c>
      <c r="J5" s="16" t="str">
        <f t="shared" si="3"/>
        <v>US</v>
      </c>
      <c r="K5" s="16" t="str">
        <f t="shared" si="4"/>
        <v>Samsung Smartphone</v>
      </c>
      <c r="L5" s="17">
        <f t="shared" si="5"/>
        <v>900</v>
      </c>
      <c r="M5" s="18">
        <v>45758</v>
      </c>
      <c r="N5" s="6"/>
      <c r="O5" s="6"/>
      <c r="P5" s="6"/>
    </row>
    <row r="6" spans="1:16" ht="15.75" customHeight="1" x14ac:dyDescent="0.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  <c r="G6" s="16" t="str">
        <f t="shared" si="0"/>
        <v>Backpack</v>
      </c>
      <c r="H6" s="16" t="str">
        <f t="shared" si="1"/>
        <v>Outdoor</v>
      </c>
      <c r="I6" s="16" t="str">
        <f t="shared" si="2"/>
        <v>22-MAY</v>
      </c>
      <c r="J6" s="16" t="str">
        <f t="shared" si="3"/>
        <v>US</v>
      </c>
      <c r="K6" s="16" t="str">
        <f t="shared" si="4"/>
        <v>North Face Backpack</v>
      </c>
      <c r="L6" s="17">
        <f t="shared" si="5"/>
        <v>70</v>
      </c>
      <c r="M6" s="18">
        <v>45799</v>
      </c>
    </row>
    <row r="7" spans="1:16" ht="15.75" customHeight="1" x14ac:dyDescent="0.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  <c r="G7" s="16" t="str">
        <f t="shared" si="0"/>
        <v>Headphones</v>
      </c>
      <c r="H7" s="16" t="str">
        <f t="shared" si="1"/>
        <v>Electronics</v>
      </c>
      <c r="I7" s="16" t="str">
        <f t="shared" si="2"/>
        <v>07-JUN</v>
      </c>
      <c r="J7" s="16" t="str">
        <f t="shared" si="3"/>
        <v>UK</v>
      </c>
      <c r="K7" s="16" t="str">
        <f t="shared" si="4"/>
        <v>Sony Headphones</v>
      </c>
      <c r="L7" s="17">
        <f t="shared" si="5"/>
        <v>556</v>
      </c>
      <c r="M7" s="18">
        <v>45815</v>
      </c>
    </row>
    <row r="8" spans="1:16" ht="15.75" customHeight="1" x14ac:dyDescent="0.2">
      <c r="A8" s="10" t="s">
        <v>46</v>
      </c>
      <c r="B8" s="10" t="s">
        <v>47</v>
      </c>
      <c r="C8" s="10" t="s">
        <v>48</v>
      </c>
      <c r="D8" s="10">
        <v>30</v>
      </c>
      <c r="E8" s="10">
        <v>5</v>
      </c>
      <c r="F8" s="10" t="s">
        <v>32</v>
      </c>
      <c r="G8" s="16" t="str">
        <f t="shared" si="0"/>
        <v>T-Shirt</v>
      </c>
      <c r="H8" s="16" t="str">
        <f t="shared" si="1"/>
        <v>Fashion</v>
      </c>
      <c r="I8" s="16" t="str">
        <f t="shared" si="2"/>
        <v>19-JUL</v>
      </c>
      <c r="J8" s="16" t="str">
        <f t="shared" si="3"/>
        <v>UK</v>
      </c>
      <c r="K8" s="16" t="str">
        <f t="shared" si="4"/>
        <v>Adidas T-Shirt</v>
      </c>
      <c r="L8" s="17">
        <f t="shared" si="5"/>
        <v>30</v>
      </c>
      <c r="M8" s="18">
        <v>45857</v>
      </c>
    </row>
    <row r="9" spans="1:16" ht="15.75" customHeight="1" x14ac:dyDescent="0.2">
      <c r="A9" s="11" t="s">
        <v>49</v>
      </c>
      <c r="B9" s="11" t="s">
        <v>50</v>
      </c>
      <c r="C9" s="11" t="s">
        <v>51</v>
      </c>
      <c r="D9" s="11">
        <v>90</v>
      </c>
      <c r="E9" s="11">
        <v>35</v>
      </c>
      <c r="F9" s="11" t="s">
        <v>36</v>
      </c>
      <c r="G9" s="16" t="str">
        <f t="shared" si="0"/>
        <v>Blender</v>
      </c>
      <c r="H9" s="16" t="str">
        <f t="shared" si="1"/>
        <v>Kitchen</v>
      </c>
      <c r="I9" s="16" t="str">
        <f t="shared" si="2"/>
        <v>23-AUG</v>
      </c>
      <c r="J9" s="16" t="str">
        <f t="shared" si="3"/>
        <v>UK</v>
      </c>
      <c r="K9" s="16" t="str">
        <f t="shared" si="4"/>
        <v>Ninja Blender</v>
      </c>
      <c r="L9" s="17">
        <f t="shared" si="5"/>
        <v>90</v>
      </c>
      <c r="M9" s="18">
        <v>45892</v>
      </c>
    </row>
    <row r="10" spans="1:16" ht="15.75" customHeight="1" x14ac:dyDescent="0.2">
      <c r="A10" s="10" t="s">
        <v>52</v>
      </c>
      <c r="B10" s="10" t="s">
        <v>53</v>
      </c>
      <c r="C10" s="10" t="s">
        <v>54</v>
      </c>
      <c r="D10" s="10">
        <v>500</v>
      </c>
      <c r="E10" s="10">
        <v>50</v>
      </c>
      <c r="F10" s="10" t="s">
        <v>28</v>
      </c>
      <c r="G10" s="16" t="str">
        <f t="shared" si="0"/>
        <v>Tablet</v>
      </c>
      <c r="H10" s="16" t="str">
        <f t="shared" si="1"/>
        <v>Electronics</v>
      </c>
      <c r="I10" s="16" t="str">
        <f t="shared" si="2"/>
        <v>05-SEP</v>
      </c>
      <c r="J10" s="16" t="str">
        <f t="shared" si="3"/>
        <v>UK</v>
      </c>
      <c r="K10" s="16" t="str">
        <f t="shared" si="4"/>
        <v>Apple Tablet</v>
      </c>
      <c r="L10" s="17">
        <f t="shared" si="5"/>
        <v>500</v>
      </c>
      <c r="M10" s="18">
        <v>45905</v>
      </c>
    </row>
    <row r="11" spans="1:16" ht="15.75" customHeight="1" x14ac:dyDescent="0.2">
      <c r="A11" s="11" t="s">
        <v>55</v>
      </c>
      <c r="B11" s="11" t="s">
        <v>56</v>
      </c>
      <c r="C11" s="11" t="s">
        <v>57</v>
      </c>
      <c r="D11" s="11">
        <v>130</v>
      </c>
      <c r="E11" s="11">
        <v>10</v>
      </c>
      <c r="F11" s="11" t="s">
        <v>58</v>
      </c>
      <c r="G11" s="16" t="str">
        <f t="shared" si="0"/>
        <v>Hiking Boots</v>
      </c>
      <c r="H11" s="16" t="str">
        <f t="shared" si="1"/>
        <v>Outdoor</v>
      </c>
      <c r="I11" s="16" t="str">
        <f t="shared" si="2"/>
        <v>14-OCT</v>
      </c>
      <c r="J11" s="16" t="str">
        <f t="shared" si="3"/>
        <v>UK</v>
      </c>
      <c r="K11" s="16" t="str">
        <f t="shared" si="4"/>
        <v>Timberland Hiking Boots</v>
      </c>
      <c r="L11" s="17">
        <f t="shared" si="5"/>
        <v>130</v>
      </c>
      <c r="M11" s="18">
        <v>45944</v>
      </c>
    </row>
    <row r="12" spans="1:16" ht="15.75" customHeight="1" x14ac:dyDescent="0.2">
      <c r="A12" s="10" t="s">
        <v>59</v>
      </c>
      <c r="B12" s="10" t="s">
        <v>60</v>
      </c>
      <c r="C12" s="10" t="s">
        <v>61</v>
      </c>
      <c r="D12" s="10">
        <v>950</v>
      </c>
      <c r="E12" s="10">
        <v>25</v>
      </c>
      <c r="F12" s="10" t="s">
        <v>28</v>
      </c>
      <c r="G12" s="16" t="str">
        <f t="shared" si="0"/>
        <v>Laptop</v>
      </c>
      <c r="H12" s="16" t="str">
        <f t="shared" si="1"/>
        <v>Electronics</v>
      </c>
      <c r="I12" s="16" t="str">
        <f t="shared" si="2"/>
        <v>17-JUN</v>
      </c>
      <c r="J12" s="16" t="str">
        <f t="shared" si="3"/>
        <v>IN</v>
      </c>
      <c r="K12" s="16" t="str">
        <f t="shared" si="4"/>
        <v>HP Laptop</v>
      </c>
      <c r="L12" s="17">
        <f t="shared" si="5"/>
        <v>950</v>
      </c>
      <c r="M12" s="18">
        <v>45825</v>
      </c>
    </row>
    <row r="13" spans="1:16" ht="15.75" customHeight="1" x14ac:dyDescent="0.2">
      <c r="A13" s="11" t="s">
        <v>62</v>
      </c>
      <c r="B13" s="11" t="s">
        <v>30</v>
      </c>
      <c r="C13" s="11" t="s">
        <v>48</v>
      </c>
      <c r="D13" s="11">
        <v>90</v>
      </c>
      <c r="E13" s="11">
        <v>40</v>
      </c>
      <c r="F13" s="11"/>
      <c r="G13" s="16" t="str">
        <f t="shared" si="0"/>
        <v>Sneakers</v>
      </c>
      <c r="H13" s="16" t="str">
        <f t="shared" si="1"/>
        <v>Fashion</v>
      </c>
      <c r="I13" s="16" t="str">
        <f t="shared" si="2"/>
        <v>25-NOV</v>
      </c>
      <c r="J13" s="16" t="str">
        <f t="shared" si="3"/>
        <v>AU</v>
      </c>
      <c r="K13" s="16" t="str">
        <f t="shared" si="4"/>
        <v>Adidas Sneakers</v>
      </c>
      <c r="L13" s="17">
        <f t="shared" si="5"/>
        <v>90</v>
      </c>
      <c r="M13" s="18">
        <v>45986</v>
      </c>
    </row>
    <row r="14" spans="1:16" ht="15.75" customHeight="1" x14ac:dyDescent="0.2">
      <c r="A14" s="10" t="s">
        <v>63</v>
      </c>
      <c r="B14" s="10" t="s">
        <v>34</v>
      </c>
      <c r="C14" s="10" t="s">
        <v>64</v>
      </c>
      <c r="D14" s="10">
        <v>120</v>
      </c>
      <c r="E14" s="10">
        <v>35</v>
      </c>
      <c r="F14" s="10"/>
      <c r="G14" s="16" t="str">
        <f t="shared" si="0"/>
        <v>Coffee Maker</v>
      </c>
      <c r="H14" s="16" t="str">
        <f t="shared" si="1"/>
        <v>Kitchen</v>
      </c>
      <c r="I14" s="16" t="str">
        <f t="shared" si="2"/>
        <v>08-DEC</v>
      </c>
      <c r="J14" s="16" t="str">
        <f t="shared" si="3"/>
        <v>DE</v>
      </c>
      <c r="K14" s="16" t="str">
        <f t="shared" si="4"/>
        <v>Nespresso Coffee Maker</v>
      </c>
      <c r="L14" s="17">
        <f t="shared" si="5"/>
        <v>120</v>
      </c>
      <c r="M14" s="18">
        <v>45999</v>
      </c>
    </row>
    <row r="15" spans="1:16" ht="15.75" customHeight="1" x14ac:dyDescent="0.2">
      <c r="A15" s="11" t="s">
        <v>65</v>
      </c>
      <c r="B15" s="11" t="s">
        <v>66</v>
      </c>
      <c r="C15" s="11" t="s">
        <v>67</v>
      </c>
      <c r="D15" s="11">
        <v>150</v>
      </c>
      <c r="E15" s="11">
        <v>15</v>
      </c>
      <c r="F15" s="11" t="s">
        <v>28</v>
      </c>
      <c r="G15" s="16" t="str">
        <f t="shared" si="0"/>
        <v>Smartwatch</v>
      </c>
      <c r="H15" s="16" t="str">
        <f t="shared" si="1"/>
        <v>Electronics</v>
      </c>
      <c r="I15" s="16" t="str">
        <f t="shared" si="2"/>
        <v>18-FEB</v>
      </c>
      <c r="J15" s="16" t="str">
        <f t="shared" si="3"/>
        <v>CA</v>
      </c>
      <c r="K15" s="16" t="str">
        <f t="shared" si="4"/>
        <v>Fitbit Smartwatch</v>
      </c>
      <c r="L15" s="17">
        <f t="shared" si="5"/>
        <v>150</v>
      </c>
      <c r="M15" s="18">
        <v>45706</v>
      </c>
    </row>
    <row r="16" spans="1:16" ht="15.75" customHeight="1" x14ac:dyDescent="0.2">
      <c r="A16" s="10" t="s">
        <v>68</v>
      </c>
      <c r="B16" s="10" t="s">
        <v>69</v>
      </c>
      <c r="C16" s="10" t="s">
        <v>70</v>
      </c>
      <c r="D16" s="10">
        <v>250</v>
      </c>
      <c r="E16" s="10">
        <v>20</v>
      </c>
      <c r="F16" s="10" t="s">
        <v>28</v>
      </c>
      <c r="G16" s="16" t="str">
        <f t="shared" si="0"/>
        <v>Headphones</v>
      </c>
      <c r="H16" s="16" t="str">
        <f t="shared" si="1"/>
        <v>Electronics</v>
      </c>
      <c r="I16" s="16" t="str">
        <f t="shared" si="2"/>
        <v>16-APR</v>
      </c>
      <c r="J16" s="16" t="str">
        <f t="shared" si="3"/>
        <v>ES</v>
      </c>
      <c r="K16" s="16" t="str">
        <f t="shared" si="4"/>
        <v>Bose Headphones</v>
      </c>
      <c r="L16" s="17">
        <f t="shared" si="5"/>
        <v>250</v>
      </c>
      <c r="M16" s="18">
        <v>45763</v>
      </c>
    </row>
    <row r="17" spans="1:13" ht="15.75" customHeight="1" x14ac:dyDescent="0.2">
      <c r="A17" s="11" t="s">
        <v>71</v>
      </c>
      <c r="B17" s="11" t="s">
        <v>72</v>
      </c>
      <c r="C17" s="11" t="s">
        <v>73</v>
      </c>
      <c r="D17" s="11">
        <v>50</v>
      </c>
      <c r="E17" s="11">
        <v>35</v>
      </c>
      <c r="F17" s="11" t="s">
        <v>74</v>
      </c>
      <c r="G17" s="16" t="str">
        <f t="shared" si="0"/>
        <v>Laptop Bag</v>
      </c>
      <c r="H17" s="16" t="str">
        <f t="shared" si="1"/>
        <v>Accessories</v>
      </c>
      <c r="I17" s="16" t="str">
        <f t="shared" si="2"/>
        <v>21-AUG</v>
      </c>
      <c r="J17" s="16" t="str">
        <f t="shared" si="3"/>
        <v>CA</v>
      </c>
      <c r="K17" s="16" t="str">
        <f t="shared" si="4"/>
        <v>Samsonite Laptop Bag</v>
      </c>
      <c r="L17" s="17">
        <f t="shared" si="5"/>
        <v>50</v>
      </c>
      <c r="M17" s="18">
        <v>45890</v>
      </c>
    </row>
    <row r="18" spans="1:13" ht="15.75" customHeight="1" x14ac:dyDescent="0.2">
      <c r="A18" s="10" t="s">
        <v>75</v>
      </c>
      <c r="B18" s="10" t="s">
        <v>66</v>
      </c>
      <c r="C18" s="10" t="s">
        <v>76</v>
      </c>
      <c r="D18" s="10">
        <v>160</v>
      </c>
      <c r="E18" s="10">
        <v>15</v>
      </c>
      <c r="F18" s="10" t="s">
        <v>28</v>
      </c>
      <c r="G18" s="16" t="str">
        <f t="shared" si="0"/>
        <v>Smartwatch</v>
      </c>
      <c r="H18" s="16" t="str">
        <f t="shared" si="1"/>
        <v>Electronics</v>
      </c>
      <c r="I18" s="16" t="str">
        <f t="shared" si="2"/>
        <v>20-AUG</v>
      </c>
      <c r="J18" s="16" t="str">
        <f t="shared" si="3"/>
        <v>CN</v>
      </c>
      <c r="K18" s="16" t="str">
        <f t="shared" si="4"/>
        <v>Huawei Smartwatch</v>
      </c>
      <c r="L18" s="17">
        <f t="shared" si="5"/>
        <v>160</v>
      </c>
      <c r="M18" s="18">
        <v>45889</v>
      </c>
    </row>
    <row r="19" spans="1:13" ht="15.75" customHeight="1" x14ac:dyDescent="0.2">
      <c r="A19" s="11" t="s">
        <v>77</v>
      </c>
      <c r="B19" s="11" t="s">
        <v>26</v>
      </c>
      <c r="C19" s="11" t="s">
        <v>78</v>
      </c>
      <c r="D19" s="11">
        <v>980</v>
      </c>
      <c r="E19" s="11">
        <v>10</v>
      </c>
      <c r="F19" s="11" t="s">
        <v>28</v>
      </c>
      <c r="G19" s="16" t="str">
        <f t="shared" si="0"/>
        <v>Laptop</v>
      </c>
      <c r="H19" s="16" t="str">
        <f t="shared" si="1"/>
        <v>Electronics</v>
      </c>
      <c r="I19" s="16" t="str">
        <f t="shared" si="2"/>
        <v>27-JAN</v>
      </c>
      <c r="J19" s="16" t="str">
        <f t="shared" si="3"/>
        <v>IT</v>
      </c>
      <c r="K19" s="16" t="str">
        <f t="shared" si="4"/>
        <v>Asus Laptop</v>
      </c>
      <c r="L19" s="17">
        <f t="shared" si="5"/>
        <v>980</v>
      </c>
      <c r="M19" s="18">
        <v>45684</v>
      </c>
    </row>
    <row r="20" spans="1:13" ht="15.75" customHeight="1" x14ac:dyDescent="0.2">
      <c r="A20" s="10" t="s">
        <v>79</v>
      </c>
      <c r="B20" s="10" t="s">
        <v>80</v>
      </c>
      <c r="C20" s="10" t="s">
        <v>81</v>
      </c>
      <c r="D20" s="10">
        <v>150</v>
      </c>
      <c r="E20" s="10">
        <v>15</v>
      </c>
      <c r="F20" s="10" t="s">
        <v>32</v>
      </c>
      <c r="G20" s="16" t="str">
        <f t="shared" si="0"/>
        <v>Sunglasses</v>
      </c>
      <c r="H20" s="16" t="str">
        <f t="shared" si="1"/>
        <v>Fashion</v>
      </c>
      <c r="I20" s="16" t="str">
        <f t="shared" si="2"/>
        <v>01-MAR</v>
      </c>
      <c r="J20" s="16" t="str">
        <f t="shared" si="3"/>
        <v>UK</v>
      </c>
      <c r="K20" s="16" t="str">
        <f t="shared" si="4"/>
        <v>Oakley Sunglasses</v>
      </c>
      <c r="L20" s="17">
        <f t="shared" si="5"/>
        <v>150</v>
      </c>
      <c r="M20" s="18">
        <v>45717</v>
      </c>
    </row>
    <row r="21" spans="1:13" ht="15.75" customHeight="1" x14ac:dyDescent="0.2">
      <c r="A21" s="11" t="s">
        <v>82</v>
      </c>
      <c r="B21" s="11" t="s">
        <v>83</v>
      </c>
      <c r="C21" s="11" t="s">
        <v>84</v>
      </c>
      <c r="D21" s="11"/>
      <c r="E21" s="11">
        <v>10</v>
      </c>
      <c r="F21" s="11" t="s">
        <v>58</v>
      </c>
      <c r="G21" s="16" t="str">
        <f t="shared" si="0"/>
        <v>Camping Tent</v>
      </c>
      <c r="H21" s="16" t="str">
        <f t="shared" si="1"/>
        <v>Outdoor</v>
      </c>
      <c r="I21" s="16" t="str">
        <f t="shared" si="2"/>
        <v>14-AUG</v>
      </c>
      <c r="J21" s="16" t="str">
        <f t="shared" si="3"/>
        <v>US</v>
      </c>
      <c r="K21" s="16" t="str">
        <f t="shared" si="4"/>
        <v>Coleman Camping Tent</v>
      </c>
      <c r="L21" s="17">
        <f t="shared" si="5"/>
        <v>100</v>
      </c>
      <c r="M21" s="18">
        <v>45883</v>
      </c>
    </row>
    <row r="22" spans="1:13" ht="15.75" customHeight="1" x14ac:dyDescent="0.2">
      <c r="A22" s="10" t="s">
        <v>85</v>
      </c>
      <c r="B22" s="10" t="s">
        <v>86</v>
      </c>
      <c r="C22" s="10" t="s">
        <v>87</v>
      </c>
      <c r="D22" s="10">
        <v>700</v>
      </c>
      <c r="E22" s="10">
        <v>50</v>
      </c>
      <c r="F22" s="10" t="s">
        <v>28</v>
      </c>
      <c r="G22" s="16" t="str">
        <f t="shared" si="0"/>
        <v>Camera</v>
      </c>
      <c r="H22" s="16" t="str">
        <f t="shared" si="1"/>
        <v>Electronics</v>
      </c>
      <c r="I22" s="16" t="str">
        <f t="shared" si="2"/>
        <v>14-MAY</v>
      </c>
      <c r="J22" s="16" t="str">
        <f t="shared" si="3"/>
        <v>RU</v>
      </c>
      <c r="K22" s="16" t="str">
        <f t="shared" si="4"/>
        <v>Nikon Camera</v>
      </c>
      <c r="L22" s="17">
        <f t="shared" si="5"/>
        <v>700</v>
      </c>
      <c r="M22" s="18">
        <v>45791</v>
      </c>
    </row>
    <row r="23" spans="1:13" ht="15.75" customHeight="1" x14ac:dyDescent="0.2">
      <c r="A23" s="11" t="s">
        <v>88</v>
      </c>
      <c r="B23" s="11" t="s">
        <v>89</v>
      </c>
      <c r="C23" s="11" t="s">
        <v>90</v>
      </c>
      <c r="D23" s="11">
        <v>80</v>
      </c>
      <c r="E23" s="11">
        <v>20</v>
      </c>
      <c r="F23" s="11" t="s">
        <v>36</v>
      </c>
      <c r="G23" s="16" t="str">
        <f t="shared" si="0"/>
        <v>Microwave</v>
      </c>
      <c r="H23" s="16" t="str">
        <f t="shared" si="1"/>
        <v>Kitchen</v>
      </c>
      <c r="I23" s="16" t="str">
        <f t="shared" si="2"/>
        <v>09-JAN</v>
      </c>
      <c r="J23" s="16" t="str">
        <f t="shared" si="3"/>
        <v>CA</v>
      </c>
      <c r="K23" s="16" t="str">
        <f t="shared" si="4"/>
        <v>Panasonic Microwave</v>
      </c>
      <c r="L23" s="17">
        <f t="shared" si="5"/>
        <v>80</v>
      </c>
      <c r="M23" s="18">
        <v>45666</v>
      </c>
    </row>
    <row r="24" spans="1:13" ht="15.75" customHeight="1" x14ac:dyDescent="0.2">
      <c r="A24" s="10" t="s">
        <v>91</v>
      </c>
      <c r="B24" s="10" t="s">
        <v>92</v>
      </c>
      <c r="C24" s="10" t="s">
        <v>93</v>
      </c>
      <c r="D24" s="10">
        <v>150</v>
      </c>
      <c r="E24" s="10">
        <v>30</v>
      </c>
      <c r="F24" s="10"/>
      <c r="G24" s="16" t="str">
        <f t="shared" si="0"/>
        <v>Fitness Tracker</v>
      </c>
      <c r="H24" s="16" t="str">
        <f t="shared" si="1"/>
        <v>Electronics</v>
      </c>
      <c r="I24" s="16" t="str">
        <f t="shared" si="2"/>
        <v>19-JUL</v>
      </c>
      <c r="J24" s="16" t="str">
        <f t="shared" si="3"/>
        <v>BR</v>
      </c>
      <c r="K24" s="16" t="str">
        <f t="shared" si="4"/>
        <v>Xiaomi Fitness Tracker</v>
      </c>
      <c r="L24" s="17">
        <f t="shared" si="5"/>
        <v>150</v>
      </c>
      <c r="M24" s="18">
        <v>45857</v>
      </c>
    </row>
    <row r="25" spans="1:13" ht="15.75" customHeight="1" x14ac:dyDescent="0.2">
      <c r="A25" s="10" t="s">
        <v>94</v>
      </c>
      <c r="B25" s="10" t="s">
        <v>95</v>
      </c>
      <c r="C25" s="10" t="s">
        <v>96</v>
      </c>
      <c r="D25" s="10">
        <v>800</v>
      </c>
      <c r="E25" s="10">
        <v>45</v>
      </c>
      <c r="F25" s="10" t="s">
        <v>28</v>
      </c>
      <c r="G25" s="16" t="str">
        <f t="shared" si="0"/>
        <v>Smartphone</v>
      </c>
      <c r="H25" s="16" t="str">
        <f t="shared" si="1"/>
        <v>Electronics</v>
      </c>
      <c r="I25" s="16" t="str">
        <f t="shared" si="2"/>
        <v>29-SEP</v>
      </c>
      <c r="J25" s="16" t="str">
        <f t="shared" si="3"/>
        <v>CA</v>
      </c>
      <c r="K25" s="16" t="str">
        <f t="shared" si="4"/>
        <v>Google Smartphone</v>
      </c>
      <c r="L25" s="17">
        <f t="shared" si="5"/>
        <v>800</v>
      </c>
      <c r="M25" s="18">
        <v>45929</v>
      </c>
    </row>
    <row r="26" spans="1:13" ht="15.75" customHeight="1" x14ac:dyDescent="0.2">
      <c r="A26" s="11" t="s">
        <v>97</v>
      </c>
      <c r="B26" s="11" t="s">
        <v>80</v>
      </c>
      <c r="C26" s="11" t="s">
        <v>98</v>
      </c>
      <c r="D26" s="11"/>
      <c r="E26" s="11">
        <v>25</v>
      </c>
      <c r="F26" s="11" t="s">
        <v>32</v>
      </c>
      <c r="G26" s="16" t="str">
        <f t="shared" si="0"/>
        <v>Sunglasses</v>
      </c>
      <c r="H26" s="16" t="str">
        <f t="shared" si="1"/>
        <v>Fashion</v>
      </c>
      <c r="I26" s="16" t="str">
        <f t="shared" si="2"/>
        <v>03-JUN</v>
      </c>
      <c r="J26" s="16" t="str">
        <f t="shared" si="3"/>
        <v>CA</v>
      </c>
      <c r="K26" s="16" t="str">
        <f t="shared" si="4"/>
        <v>Ray-Ban Sunglasses</v>
      </c>
      <c r="L26" s="17">
        <f t="shared" si="5"/>
        <v>82</v>
      </c>
      <c r="M26" s="18">
        <v>45811</v>
      </c>
    </row>
    <row r="27" spans="1:13" ht="15.75" customHeight="1" x14ac:dyDescent="0.2">
      <c r="A27" s="10" t="s">
        <v>99</v>
      </c>
      <c r="B27" s="10" t="s">
        <v>50</v>
      </c>
      <c r="C27" s="10" t="s">
        <v>100</v>
      </c>
      <c r="D27" s="10">
        <v>400</v>
      </c>
      <c r="E27" s="10">
        <v>40</v>
      </c>
      <c r="F27" s="10" t="s">
        <v>36</v>
      </c>
      <c r="G27" s="16" t="str">
        <f t="shared" si="0"/>
        <v>Blender</v>
      </c>
      <c r="H27" s="16" t="str">
        <f t="shared" si="1"/>
        <v>Kitchen</v>
      </c>
      <c r="I27" s="16" t="str">
        <f t="shared" si="2"/>
        <v>11-JUL</v>
      </c>
      <c r="J27" s="16" t="str">
        <f t="shared" si="3"/>
        <v>CA</v>
      </c>
      <c r="K27" s="16" t="str">
        <f t="shared" si="4"/>
        <v>Vitamix Blender</v>
      </c>
      <c r="L27" s="17">
        <f t="shared" si="5"/>
        <v>400</v>
      </c>
      <c r="M27" s="18">
        <v>45849</v>
      </c>
    </row>
    <row r="28" spans="1:13" ht="15.75" customHeight="1" x14ac:dyDescent="0.2">
      <c r="A28" s="10" t="s">
        <v>101</v>
      </c>
      <c r="B28" s="10" t="s">
        <v>102</v>
      </c>
      <c r="C28" s="10" t="s">
        <v>103</v>
      </c>
      <c r="D28" s="10">
        <v>60</v>
      </c>
      <c r="E28" s="10">
        <v>30</v>
      </c>
      <c r="F28" s="10" t="s">
        <v>32</v>
      </c>
      <c r="G28" s="16" t="str">
        <f t="shared" si="0"/>
        <v>Dress</v>
      </c>
      <c r="H28" s="16" t="str">
        <f t="shared" si="1"/>
        <v>Fashion</v>
      </c>
      <c r="I28" s="16" t="str">
        <f t="shared" si="2"/>
        <v>07-MAR</v>
      </c>
      <c r="J28" s="16" t="str">
        <f t="shared" si="3"/>
        <v>CA</v>
      </c>
      <c r="K28" s="16" t="str">
        <f t="shared" si="4"/>
        <v>Zara Dress</v>
      </c>
      <c r="L28" s="17">
        <f t="shared" si="5"/>
        <v>60</v>
      </c>
      <c r="M28" s="18">
        <v>45723</v>
      </c>
    </row>
    <row r="29" spans="1:13" ht="15.75" customHeight="1" x14ac:dyDescent="0.2">
      <c r="A29" s="11" t="s">
        <v>104</v>
      </c>
      <c r="B29" s="11" t="s">
        <v>105</v>
      </c>
      <c r="C29" s="11" t="s">
        <v>106</v>
      </c>
      <c r="D29" s="11">
        <v>40</v>
      </c>
      <c r="E29" s="11">
        <v>10</v>
      </c>
      <c r="F29" s="11" t="s">
        <v>36</v>
      </c>
      <c r="G29" s="16" t="str">
        <f t="shared" si="0"/>
        <v>Toaster</v>
      </c>
      <c r="H29" s="16" t="str">
        <f t="shared" si="1"/>
        <v>Kitchen</v>
      </c>
      <c r="I29" s="16" t="str">
        <f t="shared" si="2"/>
        <v>13-APR</v>
      </c>
      <c r="J29" s="16" t="str">
        <f t="shared" si="3"/>
        <v>CA</v>
      </c>
      <c r="K29" s="16" t="str">
        <f t="shared" si="4"/>
        <v>Hamilton Toaster</v>
      </c>
      <c r="L29" s="17">
        <f t="shared" si="5"/>
        <v>40</v>
      </c>
      <c r="M29" s="18">
        <v>45760</v>
      </c>
    </row>
    <row r="30" spans="1:13" ht="15.75" customHeight="1" x14ac:dyDescent="0.2">
      <c r="A30" s="10" t="s">
        <v>107</v>
      </c>
      <c r="B30" s="10" t="s">
        <v>92</v>
      </c>
      <c r="C30" s="10" t="s">
        <v>108</v>
      </c>
      <c r="D30" s="10">
        <v>130</v>
      </c>
      <c r="E30" s="10">
        <v>5</v>
      </c>
      <c r="F30" s="10" t="s">
        <v>28</v>
      </c>
      <c r="G30" s="16" t="str">
        <f t="shared" si="0"/>
        <v>Fitness Tracker</v>
      </c>
      <c r="H30" s="16" t="str">
        <f t="shared" si="1"/>
        <v>Electronics</v>
      </c>
      <c r="I30" s="16" t="str">
        <f t="shared" si="2"/>
        <v>24-MAY</v>
      </c>
      <c r="J30" s="16" t="str">
        <f t="shared" si="3"/>
        <v>CA</v>
      </c>
      <c r="K30" s="16" t="str">
        <f t="shared" si="4"/>
        <v>Garmin Fitness Tracker</v>
      </c>
      <c r="L30" s="17">
        <f t="shared" si="5"/>
        <v>130</v>
      </c>
      <c r="M30" s="18">
        <v>45801</v>
      </c>
    </row>
    <row r="31" spans="1:13" ht="15.75" customHeight="1" x14ac:dyDescent="0.2">
      <c r="A31" s="11" t="s">
        <v>109</v>
      </c>
      <c r="B31" s="11" t="s">
        <v>110</v>
      </c>
      <c r="C31" s="11" t="s">
        <v>111</v>
      </c>
      <c r="D31" s="11">
        <v>50</v>
      </c>
      <c r="E31" s="11">
        <v>50</v>
      </c>
      <c r="F31" s="11" t="s">
        <v>32</v>
      </c>
      <c r="G31" s="16" t="str">
        <f t="shared" si="0"/>
        <v>Jeans</v>
      </c>
      <c r="H31" s="16" t="str">
        <f t="shared" si="1"/>
        <v>Kitchen</v>
      </c>
      <c r="I31" s="16" t="str">
        <f t="shared" si="2"/>
        <v>02-DEC</v>
      </c>
      <c r="J31" s="16" t="str">
        <f t="shared" si="3"/>
        <v>CA</v>
      </c>
      <c r="K31" s="16" t="str">
        <f t="shared" si="4"/>
        <v>Levi's Jeans</v>
      </c>
      <c r="L31" s="17">
        <f t="shared" si="5"/>
        <v>50</v>
      </c>
      <c r="M31" s="18">
        <v>45993</v>
      </c>
    </row>
    <row r="32" spans="1:13" ht="15.75" customHeight="1" x14ac:dyDescent="0.2">
      <c r="A32" s="11" t="s">
        <v>112</v>
      </c>
      <c r="B32" s="11" t="s">
        <v>113</v>
      </c>
      <c r="C32" s="11" t="s">
        <v>114</v>
      </c>
      <c r="D32" s="11">
        <v>100</v>
      </c>
      <c r="E32" s="11">
        <v>20</v>
      </c>
      <c r="F32" s="11" t="s">
        <v>74</v>
      </c>
      <c r="G32" s="16" t="str">
        <f t="shared" si="0"/>
        <v>Watch</v>
      </c>
      <c r="H32" s="16" t="str">
        <f t="shared" si="1"/>
        <v>Accessories</v>
      </c>
      <c r="I32" s="16" t="str">
        <f t="shared" si="2"/>
        <v>09-JUL</v>
      </c>
      <c r="J32" s="16" t="str">
        <f t="shared" si="3"/>
        <v>FR</v>
      </c>
      <c r="K32" s="16" t="str">
        <f t="shared" si="4"/>
        <v>Casio Watch</v>
      </c>
      <c r="L32" s="17">
        <f t="shared" si="5"/>
        <v>100</v>
      </c>
      <c r="M32" s="18">
        <v>45847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1:H32">
    <cfRule type="containsText" dxfId="1" priority="3" operator="containsText" text="Electronics">
      <formula>NOT(ISERROR(SEARCH("Electronics",H1)))</formula>
    </cfRule>
    <cfRule type="containsText" dxfId="0" priority="1" operator="containsText" text="Electronics">
      <formula>NOT(ISERROR(SEARCH("Electronics",H1)))</formula>
    </cfRule>
  </conditionalFormatting>
  <conditionalFormatting sqref="L2:L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{36BF9B94-EF47-4830-9929-EAB97401FD90}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BF9B94-EF47-4830-9929-EAB97401F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L2:L32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2025-12-16T08:44:37Z</dcterms:modified>
</cp:coreProperties>
</file>